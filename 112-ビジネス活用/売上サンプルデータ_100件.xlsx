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ダッシュボード" sheetId="1" state="visible" r:id="rId1"/>
    <sheet name="Sheet1" sheetId="2" state="visible" r:id="rId2"/>
    <sheet name="商品別集計" sheetId="3" state="visible" r:id="rId3"/>
    <sheet name="地域別集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8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商品別売上合計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'ダッシュボード'!B4</f>
            </strRef>
          </tx>
          <spPr>
            <a:ln>
              <a:prstDash val="solid"/>
            </a:ln>
          </spPr>
          <cat>
            <numRef>
              <f>'ダッシュボード'!$A$5:$A$14</f>
            </numRef>
          </cat>
          <val>
            <numRef>
              <f>'ダッシュボード'!$B$5:$B$14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地域別売上構成</a:t>
            </a:r>
          </a:p>
        </rich>
      </tx>
    </title>
    <plotArea>
      <pieChart>
        <varyColors val="1"/>
        <ser>
          <idx val="0"/>
          <order val="0"/>
          <tx>
            <strRef>
              <f>'ダッシュボード'!B18</f>
            </strRef>
          </tx>
          <spPr>
            <a:ln>
              <a:prstDash val="solid"/>
            </a:ln>
          </spPr>
          <cat>
            <numRef>
              <f>'ダッシュボード'!$A$19:$A$26</f>
            </numRef>
          </cat>
          <val>
            <numRef>
              <f>'ダッシュボード'!$B$19:$B$26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月別売上推移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'ダッシュボード'!B30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'ダッシュボード'!$A$31:$A$42</f>
            </numRef>
          </cat>
          <val>
            <numRef>
              <f>'ダッシュボード'!$B$31:$B$42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1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61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28</row>
      <rowOff>0</rowOff>
    </from>
    <ext cx="61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" customWidth="1" min="3" max="3"/>
  </cols>
  <sheetData>
    <row r="1" ht="40" customHeight="1">
      <c r="A1" s="15" t="inlineStr">
        <is>
          <t>売上ダッシュボード  2025年</t>
        </is>
      </c>
    </row>
    <row r="3" ht="22" customHeight="1">
      <c r="A3" s="16" t="inlineStr">
        <is>
          <t>■ 商品別売上</t>
        </is>
      </c>
    </row>
    <row r="4">
      <c r="A4" s="17" t="inlineStr">
        <is>
          <t>商品名</t>
        </is>
      </c>
      <c r="B4" s="17" t="inlineStr">
        <is>
          <t>売上合計（円）</t>
        </is>
      </c>
    </row>
    <row r="5">
      <c r="A5" s="18" t="inlineStr">
        <is>
          <t>ノートPC</t>
        </is>
      </c>
      <c r="B5" s="19">
        <f>SUMIFS(Sheet1!$D$2:$D$101,Sheet1!$B$2:$B$101,A5)</f>
        <v/>
      </c>
    </row>
    <row r="6">
      <c r="A6" s="20" t="inlineStr">
        <is>
          <t>デスクトップPC</t>
        </is>
      </c>
      <c r="B6" s="21">
        <f>SUMIFS(Sheet1!$D$2:$D$101,Sheet1!$B$2:$B$101,A6)</f>
        <v/>
      </c>
    </row>
    <row r="7">
      <c r="A7" s="18" t="inlineStr">
        <is>
          <t>タブレット</t>
        </is>
      </c>
      <c r="B7" s="19">
        <f>SUMIFS(Sheet1!$D$2:$D$101,Sheet1!$B$2:$B$101,A7)</f>
        <v/>
      </c>
    </row>
    <row r="8">
      <c r="A8" s="20" t="inlineStr">
        <is>
          <t>スマートフォン</t>
        </is>
      </c>
      <c r="B8" s="21">
        <f>SUMIFS(Sheet1!$D$2:$D$101,Sheet1!$B$2:$B$101,A8)</f>
        <v/>
      </c>
    </row>
    <row r="9">
      <c r="A9" s="18" t="inlineStr">
        <is>
          <t>プリンター</t>
        </is>
      </c>
      <c r="B9" s="19">
        <f>SUMIFS(Sheet1!$D$2:$D$101,Sheet1!$B$2:$B$101,A9)</f>
        <v/>
      </c>
    </row>
    <row r="10">
      <c r="A10" s="20" t="inlineStr">
        <is>
          <t>モニター</t>
        </is>
      </c>
      <c r="B10" s="21">
        <f>SUMIFS(Sheet1!$D$2:$D$101,Sheet1!$B$2:$B$101,A10)</f>
        <v/>
      </c>
    </row>
    <row r="11">
      <c r="A11" s="18" t="inlineStr">
        <is>
          <t>キーボード</t>
        </is>
      </c>
      <c r="B11" s="19">
        <f>SUMIFS(Sheet1!$D$2:$D$101,Sheet1!$B$2:$B$101,A11)</f>
        <v/>
      </c>
    </row>
    <row r="12">
      <c r="A12" s="20" t="inlineStr">
        <is>
          <t>マウス</t>
        </is>
      </c>
      <c r="B12" s="21">
        <f>SUMIFS(Sheet1!$D$2:$D$101,Sheet1!$B$2:$B$101,A12)</f>
        <v/>
      </c>
    </row>
    <row r="13">
      <c r="A13" s="18" t="inlineStr">
        <is>
          <t>Webカメラ</t>
        </is>
      </c>
      <c r="B13" s="19">
        <f>SUMIFS(Sheet1!$D$2:$D$101,Sheet1!$B$2:$B$101,A13)</f>
        <v/>
      </c>
    </row>
    <row r="14">
      <c r="A14" s="20" t="inlineStr">
        <is>
          <t>ヘッドセット</t>
        </is>
      </c>
      <c r="B14" s="21">
        <f>SUMIFS(Sheet1!$D$2:$D$101,Sheet1!$B$2:$B$101,A14)</f>
        <v/>
      </c>
    </row>
    <row r="15">
      <c r="A15" s="22" t="inlineStr">
        <is>
          <t>合計</t>
        </is>
      </c>
      <c r="B15" s="23">
        <f>SUM(B5:B14)</f>
        <v/>
      </c>
    </row>
    <row r="17" ht="22" customHeight="1">
      <c r="A17" s="16" t="inlineStr">
        <is>
          <t>■ 地域別売上</t>
        </is>
      </c>
    </row>
    <row r="18">
      <c r="A18" s="17" t="inlineStr">
        <is>
          <t>地域</t>
        </is>
      </c>
      <c r="B18" s="17" t="inlineStr">
        <is>
          <t>売上合計（円）</t>
        </is>
      </c>
    </row>
    <row r="19">
      <c r="A19" s="18" t="inlineStr">
        <is>
          <t>北海道</t>
        </is>
      </c>
      <c r="B19" s="19">
        <f>SUMIFS(Sheet1!$D$2:$D$101,Sheet1!$C$2:$C$101,A19)</f>
        <v/>
      </c>
    </row>
    <row r="20">
      <c r="A20" s="20" t="inlineStr">
        <is>
          <t>東北</t>
        </is>
      </c>
      <c r="B20" s="21">
        <f>SUMIFS(Sheet1!$D$2:$D$101,Sheet1!$C$2:$C$101,A20)</f>
        <v/>
      </c>
    </row>
    <row r="21">
      <c r="A21" s="18" t="inlineStr">
        <is>
          <t>関東</t>
        </is>
      </c>
      <c r="B21" s="19">
        <f>SUMIFS(Sheet1!$D$2:$D$101,Sheet1!$C$2:$C$101,A21)</f>
        <v/>
      </c>
    </row>
    <row r="22">
      <c r="A22" s="20" t="inlineStr">
        <is>
          <t>中部</t>
        </is>
      </c>
      <c r="B22" s="21">
        <f>SUMIFS(Sheet1!$D$2:$D$101,Sheet1!$C$2:$C$101,A22)</f>
        <v/>
      </c>
    </row>
    <row r="23">
      <c r="A23" s="18" t="inlineStr">
        <is>
          <t>近畿</t>
        </is>
      </c>
      <c r="B23" s="19">
        <f>SUMIFS(Sheet1!$D$2:$D$101,Sheet1!$C$2:$C$101,A23)</f>
        <v/>
      </c>
    </row>
    <row r="24">
      <c r="A24" s="20" t="inlineStr">
        <is>
          <t>中国</t>
        </is>
      </c>
      <c r="B24" s="21">
        <f>SUMIFS(Sheet1!$D$2:$D$101,Sheet1!$C$2:$C$101,A24)</f>
        <v/>
      </c>
    </row>
    <row r="25">
      <c r="A25" s="18" t="inlineStr">
        <is>
          <t>四国</t>
        </is>
      </c>
      <c r="B25" s="19">
        <f>SUMIFS(Sheet1!$D$2:$D$101,Sheet1!$C$2:$C$101,A25)</f>
        <v/>
      </c>
    </row>
    <row r="26">
      <c r="A26" s="20" t="inlineStr">
        <is>
          <t>九州</t>
        </is>
      </c>
      <c r="B26" s="21">
        <f>SUMIFS(Sheet1!$D$2:$D$101,Sheet1!$C$2:$C$101,A26)</f>
        <v/>
      </c>
    </row>
    <row r="27">
      <c r="A27" s="22" t="inlineStr">
        <is>
          <t>合計</t>
        </is>
      </c>
      <c r="B27" s="23">
        <f>SUM(B19:B26)</f>
        <v/>
      </c>
    </row>
    <row r="29" ht="22" customHeight="1">
      <c r="A29" s="16" t="inlineStr">
        <is>
          <t>■ 月別売上推移</t>
        </is>
      </c>
    </row>
    <row r="30">
      <c r="A30" s="17" t="inlineStr">
        <is>
          <t>月</t>
        </is>
      </c>
      <c r="B30" s="17" t="inlineStr">
        <is>
          <t>売上合計（円）</t>
        </is>
      </c>
    </row>
    <row r="31">
      <c r="A31" s="18" t="inlineStr">
        <is>
          <t>1月</t>
        </is>
      </c>
      <c r="B31" s="19">
        <f>SUMIFS(Sheet1!$D$2:$D$101,Sheet1!$A$2:$A$101,"&gt;="&amp;DATE(2025,1,1),Sheet1!$A$2:$A$101,"&lt;="&amp;EOMONTH(DATE(2025,1,1),0))</f>
        <v/>
      </c>
    </row>
    <row r="32">
      <c r="A32" s="20" t="inlineStr">
        <is>
          <t>2月</t>
        </is>
      </c>
      <c r="B32" s="21">
        <f>SUMIFS(Sheet1!$D$2:$D$101,Sheet1!$A$2:$A$101,"&gt;="&amp;DATE(2025,2,1),Sheet1!$A$2:$A$101,"&lt;="&amp;EOMONTH(DATE(2025,2,1),0))</f>
        <v/>
      </c>
    </row>
    <row r="33">
      <c r="A33" s="18" t="inlineStr">
        <is>
          <t>3月</t>
        </is>
      </c>
      <c r="B33" s="19">
        <f>SUMIFS(Sheet1!$D$2:$D$101,Sheet1!$A$2:$A$101,"&gt;="&amp;DATE(2025,3,1),Sheet1!$A$2:$A$101,"&lt;="&amp;EOMONTH(DATE(2025,3,1),0))</f>
        <v/>
      </c>
    </row>
    <row r="34">
      <c r="A34" s="20" t="inlineStr">
        <is>
          <t>4月</t>
        </is>
      </c>
      <c r="B34" s="21">
        <f>SUMIFS(Sheet1!$D$2:$D$101,Sheet1!$A$2:$A$101,"&gt;="&amp;DATE(2025,4,1),Sheet1!$A$2:$A$101,"&lt;="&amp;EOMONTH(DATE(2025,4,1),0))</f>
        <v/>
      </c>
    </row>
    <row r="35">
      <c r="A35" s="18" t="inlineStr">
        <is>
          <t>5月</t>
        </is>
      </c>
      <c r="B35" s="19">
        <f>SUMIFS(Sheet1!$D$2:$D$101,Sheet1!$A$2:$A$101,"&gt;="&amp;DATE(2025,5,1),Sheet1!$A$2:$A$101,"&lt;="&amp;EOMONTH(DATE(2025,5,1),0))</f>
        <v/>
      </c>
    </row>
    <row r="36">
      <c r="A36" s="20" t="inlineStr">
        <is>
          <t>6月</t>
        </is>
      </c>
      <c r="B36" s="21">
        <f>SUMIFS(Sheet1!$D$2:$D$101,Sheet1!$A$2:$A$101,"&gt;="&amp;DATE(2025,6,1),Sheet1!$A$2:$A$101,"&lt;="&amp;EOMONTH(DATE(2025,6,1),0))</f>
        <v/>
      </c>
    </row>
    <row r="37">
      <c r="A37" s="18" t="inlineStr">
        <is>
          <t>7月</t>
        </is>
      </c>
      <c r="B37" s="19">
        <f>SUMIFS(Sheet1!$D$2:$D$101,Sheet1!$A$2:$A$101,"&gt;="&amp;DATE(2025,7,1),Sheet1!$A$2:$A$101,"&lt;="&amp;EOMONTH(DATE(2025,7,1),0))</f>
        <v/>
      </c>
    </row>
    <row r="38">
      <c r="A38" s="20" t="inlineStr">
        <is>
          <t>8月</t>
        </is>
      </c>
      <c r="B38" s="21">
        <f>SUMIFS(Sheet1!$D$2:$D$101,Sheet1!$A$2:$A$101,"&gt;="&amp;DATE(2025,8,1),Sheet1!$A$2:$A$101,"&lt;="&amp;EOMONTH(DATE(2025,8,1),0))</f>
        <v/>
      </c>
    </row>
    <row r="39">
      <c r="A39" s="18" t="inlineStr">
        <is>
          <t>9月</t>
        </is>
      </c>
      <c r="B39" s="19">
        <f>SUMIFS(Sheet1!$D$2:$D$101,Sheet1!$A$2:$A$101,"&gt;="&amp;DATE(2025,9,1),Sheet1!$A$2:$A$101,"&lt;="&amp;EOMONTH(DATE(2025,9,1),0))</f>
        <v/>
      </c>
    </row>
    <row r="40">
      <c r="A40" s="20" t="inlineStr">
        <is>
          <t>10月</t>
        </is>
      </c>
      <c r="B40" s="21">
        <f>SUMIFS(Sheet1!$D$2:$D$101,Sheet1!$A$2:$A$101,"&gt;="&amp;DATE(2025,10,1),Sheet1!$A$2:$A$101,"&lt;="&amp;EOMONTH(DATE(2025,10,1),0))</f>
        <v/>
      </c>
    </row>
    <row r="41">
      <c r="A41" s="18" t="inlineStr">
        <is>
          <t>11月</t>
        </is>
      </c>
      <c r="B41" s="19">
        <f>SUMIFS(Sheet1!$D$2:$D$101,Sheet1!$A$2:$A$101,"&gt;="&amp;DATE(2025,11,1),Sheet1!$A$2:$A$101,"&lt;="&amp;EOMONTH(DATE(2025,11,1),0))</f>
        <v/>
      </c>
    </row>
    <row r="42">
      <c r="A42" s="20" t="inlineStr">
        <is>
          <t>12月</t>
        </is>
      </c>
      <c r="B42" s="21">
        <f>SUMIFS(Sheet1!$D$2:$D$101,Sheet1!$A$2:$A$101,"&gt;="&amp;DATE(2025,12,1),Sheet1!$A$2:$A$101,"&lt;="&amp;EOMONTH(DATE(2025,12,1),0))</f>
        <v/>
      </c>
    </row>
    <row r="43">
      <c r="A43" s="22" t="inlineStr">
        <is>
          <t>合計</t>
        </is>
      </c>
      <c r="B43" s="23">
        <f>SUM(B31:B42)</f>
        <v/>
      </c>
    </row>
  </sheetData>
  <mergeCells count="4">
    <mergeCell ref="A17:C17"/>
    <mergeCell ref="A1:K1"/>
    <mergeCell ref="A3:C3"/>
    <mergeCell ref="A29:C2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  <col width="12" customWidth="1" min="5" max="5"/>
  </cols>
  <sheetData>
    <row r="1" ht="22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地域</t>
        </is>
      </c>
      <c r="D1" s="1" t="inlineStr">
        <is>
          <t>売上金額</t>
        </is>
      </c>
      <c r="E1" s="1" t="inlineStr">
        <is>
          <t>顧客タイプ</t>
        </is>
      </c>
    </row>
    <row r="2">
      <c r="A2" s="8" t="n">
        <v>45658</v>
      </c>
      <c r="B2" s="3" t="inlineStr">
        <is>
          <t>プリンター</t>
        </is>
      </c>
      <c r="C2" s="3" t="inlineStr">
        <is>
          <t>近畿</t>
        </is>
      </c>
      <c r="D2" s="4" t="n">
        <v>41000</v>
      </c>
      <c r="E2" s="3" t="inlineStr">
        <is>
          <t>法人</t>
        </is>
      </c>
    </row>
    <row r="3">
      <c r="A3" s="9" t="n">
        <v>45661</v>
      </c>
      <c r="B3" s="6" t="inlineStr">
        <is>
          <t>タブレット</t>
        </is>
      </c>
      <c r="C3" s="6" t="inlineStr">
        <is>
          <t>四国</t>
        </is>
      </c>
      <c r="D3" s="7" t="n">
        <v>83000</v>
      </c>
      <c r="E3" s="6" t="inlineStr">
        <is>
          <t>法人</t>
        </is>
      </c>
    </row>
    <row r="4">
      <c r="A4" s="8" t="n">
        <v>45671</v>
      </c>
      <c r="B4" s="3" t="inlineStr">
        <is>
          <t>Webカメラ</t>
        </is>
      </c>
      <c r="C4" s="3" t="inlineStr">
        <is>
          <t>中部</t>
        </is>
      </c>
      <c r="D4" s="4" t="n">
        <v>27000</v>
      </c>
      <c r="E4" s="3" t="inlineStr">
        <is>
          <t>個人</t>
        </is>
      </c>
    </row>
    <row r="5">
      <c r="A5" s="9" t="n">
        <v>45673</v>
      </c>
      <c r="B5" s="6" t="inlineStr">
        <is>
          <t>デスクトップPC</t>
        </is>
      </c>
      <c r="C5" s="6" t="inlineStr">
        <is>
          <t>中部</t>
        </is>
      </c>
      <c r="D5" s="7" t="n">
        <v>89000</v>
      </c>
      <c r="E5" s="6" t="inlineStr">
        <is>
          <t>法人</t>
        </is>
      </c>
    </row>
    <row r="6">
      <c r="A6" s="8" t="n">
        <v>45678</v>
      </c>
      <c r="B6" s="3" t="inlineStr">
        <is>
          <t>ヘッドセット</t>
        </is>
      </c>
      <c r="C6" s="3" t="inlineStr">
        <is>
          <t>東北</t>
        </is>
      </c>
      <c r="D6" s="4" t="n">
        <v>31000</v>
      </c>
      <c r="E6" s="3" t="inlineStr">
        <is>
          <t>個人</t>
        </is>
      </c>
    </row>
    <row r="7">
      <c r="A7" s="9" t="n">
        <v>45678</v>
      </c>
      <c r="B7" s="6" t="inlineStr">
        <is>
          <t>モニター</t>
        </is>
      </c>
      <c r="C7" s="6" t="inlineStr">
        <is>
          <t>中部</t>
        </is>
      </c>
      <c r="D7" s="7" t="n">
        <v>51000</v>
      </c>
      <c r="E7" s="6" t="inlineStr">
        <is>
          <t>個人</t>
        </is>
      </c>
    </row>
    <row r="8">
      <c r="A8" s="8" t="n">
        <v>45680</v>
      </c>
      <c r="B8" s="3" t="inlineStr">
        <is>
          <t>キーボード</t>
        </is>
      </c>
      <c r="C8" s="3" t="inlineStr">
        <is>
          <t>北海道</t>
        </is>
      </c>
      <c r="D8" s="4" t="n">
        <v>19000</v>
      </c>
      <c r="E8" s="3" t="inlineStr">
        <is>
          <t>個人</t>
        </is>
      </c>
    </row>
    <row r="9">
      <c r="A9" s="9" t="n">
        <v>45681</v>
      </c>
      <c r="B9" s="6" t="inlineStr">
        <is>
          <t>スマートフォン</t>
        </is>
      </c>
      <c r="C9" s="6" t="inlineStr">
        <is>
          <t>九州</t>
        </is>
      </c>
      <c r="D9" s="7" t="n">
        <v>128000</v>
      </c>
      <c r="E9" s="6" t="inlineStr">
        <is>
          <t>個人</t>
        </is>
      </c>
    </row>
    <row r="10">
      <c r="A10" s="8" t="n">
        <v>45685</v>
      </c>
      <c r="B10" s="3" t="inlineStr">
        <is>
          <t>デスクトップPC</t>
        </is>
      </c>
      <c r="C10" s="3" t="inlineStr">
        <is>
          <t>北海道</t>
        </is>
      </c>
      <c r="D10" s="4" t="n">
        <v>111000</v>
      </c>
      <c r="E10" s="3" t="inlineStr">
        <is>
          <t>個人</t>
        </is>
      </c>
    </row>
    <row r="11">
      <c r="A11" s="9" t="n">
        <v>45686</v>
      </c>
      <c r="B11" s="6" t="inlineStr">
        <is>
          <t>スマートフォン</t>
        </is>
      </c>
      <c r="C11" s="6" t="inlineStr">
        <is>
          <t>北海道</t>
        </is>
      </c>
      <c r="D11" s="7" t="n">
        <v>90000</v>
      </c>
      <c r="E11" s="6" t="inlineStr">
        <is>
          <t>法人</t>
        </is>
      </c>
    </row>
    <row r="12">
      <c r="A12" s="8" t="n">
        <v>45687</v>
      </c>
      <c r="B12" s="3" t="inlineStr">
        <is>
          <t>ヘッドセット</t>
        </is>
      </c>
      <c r="C12" s="3" t="inlineStr">
        <is>
          <t>北海道</t>
        </is>
      </c>
      <c r="D12" s="4" t="n">
        <v>25000</v>
      </c>
      <c r="E12" s="3" t="inlineStr">
        <is>
          <t>法人</t>
        </is>
      </c>
    </row>
    <row r="13">
      <c r="A13" s="9" t="n">
        <v>45691</v>
      </c>
      <c r="B13" s="6" t="inlineStr">
        <is>
          <t>スマートフォン</t>
        </is>
      </c>
      <c r="C13" s="6" t="inlineStr">
        <is>
          <t>中国</t>
        </is>
      </c>
      <c r="D13" s="7" t="n">
        <v>77000</v>
      </c>
      <c r="E13" s="6" t="inlineStr">
        <is>
          <t>個人</t>
        </is>
      </c>
    </row>
    <row r="14">
      <c r="A14" s="8" t="n">
        <v>45693</v>
      </c>
      <c r="B14" s="3" t="inlineStr">
        <is>
          <t>ノートPC</t>
        </is>
      </c>
      <c r="C14" s="3" t="inlineStr">
        <is>
          <t>中部</t>
        </is>
      </c>
      <c r="D14" s="4" t="n">
        <v>178000</v>
      </c>
      <c r="E14" s="3" t="inlineStr">
        <is>
          <t>法人</t>
        </is>
      </c>
    </row>
    <row r="15">
      <c r="A15" s="9" t="n">
        <v>45695</v>
      </c>
      <c r="B15" s="6" t="inlineStr">
        <is>
          <t>ノートPC</t>
        </is>
      </c>
      <c r="C15" s="6" t="inlineStr">
        <is>
          <t>九州</t>
        </is>
      </c>
      <c r="D15" s="7" t="n">
        <v>159000</v>
      </c>
      <c r="E15" s="6" t="inlineStr">
        <is>
          <t>個人</t>
        </is>
      </c>
    </row>
    <row r="16">
      <c r="A16" s="8" t="n">
        <v>45695</v>
      </c>
      <c r="B16" s="3" t="inlineStr">
        <is>
          <t>マウス</t>
        </is>
      </c>
      <c r="C16" s="3" t="inlineStr">
        <is>
          <t>四国</t>
        </is>
      </c>
      <c r="D16" s="4" t="n">
        <v>12000</v>
      </c>
      <c r="E16" s="3" t="inlineStr">
        <is>
          <t>法人</t>
        </is>
      </c>
    </row>
    <row r="17">
      <c r="A17" s="9" t="n">
        <v>45696</v>
      </c>
      <c r="B17" s="6" t="inlineStr">
        <is>
          <t>マウス</t>
        </is>
      </c>
      <c r="C17" s="6" t="inlineStr">
        <is>
          <t>東北</t>
        </is>
      </c>
      <c r="D17" s="7" t="n">
        <v>2000</v>
      </c>
      <c r="E17" s="6" t="inlineStr">
        <is>
          <t>個人</t>
        </is>
      </c>
    </row>
    <row r="18">
      <c r="A18" s="8" t="n">
        <v>45698</v>
      </c>
      <c r="B18" s="3" t="inlineStr">
        <is>
          <t>スマートフォン</t>
        </is>
      </c>
      <c r="C18" s="3" t="inlineStr">
        <is>
          <t>東北</t>
        </is>
      </c>
      <c r="D18" s="4" t="n">
        <v>98000</v>
      </c>
      <c r="E18" s="3" t="inlineStr">
        <is>
          <t>法人</t>
        </is>
      </c>
    </row>
    <row r="19">
      <c r="A19" s="9" t="n">
        <v>45699</v>
      </c>
      <c r="B19" s="6" t="inlineStr">
        <is>
          <t>タブレット</t>
        </is>
      </c>
      <c r="C19" s="6" t="inlineStr">
        <is>
          <t>東北</t>
        </is>
      </c>
      <c r="D19" s="7" t="n">
        <v>116000</v>
      </c>
      <c r="E19" s="6" t="inlineStr">
        <is>
          <t>法人</t>
        </is>
      </c>
    </row>
    <row r="20">
      <c r="A20" s="8" t="n">
        <v>45709</v>
      </c>
      <c r="B20" s="3" t="inlineStr">
        <is>
          <t>デスクトップPC</t>
        </is>
      </c>
      <c r="C20" s="3" t="inlineStr">
        <is>
          <t>中部</t>
        </is>
      </c>
      <c r="D20" s="4" t="n">
        <v>124000</v>
      </c>
      <c r="E20" s="3" t="inlineStr">
        <is>
          <t>法人</t>
        </is>
      </c>
    </row>
    <row r="21">
      <c r="A21" s="9" t="n">
        <v>45712</v>
      </c>
      <c r="B21" s="6" t="inlineStr">
        <is>
          <t>Webカメラ</t>
        </is>
      </c>
      <c r="C21" s="6" t="inlineStr">
        <is>
          <t>関東</t>
        </is>
      </c>
      <c r="D21" s="7" t="n">
        <v>13000</v>
      </c>
      <c r="E21" s="6" t="inlineStr">
        <is>
          <t>法人</t>
        </is>
      </c>
    </row>
    <row r="22">
      <c r="A22" s="8" t="n">
        <v>45713</v>
      </c>
      <c r="B22" s="3" t="inlineStr">
        <is>
          <t>スマートフォン</t>
        </is>
      </c>
      <c r="C22" s="3" t="inlineStr">
        <is>
          <t>中部</t>
        </is>
      </c>
      <c r="D22" s="4" t="n">
        <v>74000</v>
      </c>
      <c r="E22" s="3" t="inlineStr">
        <is>
          <t>法人</t>
        </is>
      </c>
    </row>
    <row r="23">
      <c r="A23" s="9" t="n">
        <v>45714</v>
      </c>
      <c r="B23" s="6" t="inlineStr">
        <is>
          <t>タブレット</t>
        </is>
      </c>
      <c r="C23" s="6" t="inlineStr">
        <is>
          <t>関東</t>
        </is>
      </c>
      <c r="D23" s="7" t="n">
        <v>94000</v>
      </c>
      <c r="E23" s="6" t="inlineStr">
        <is>
          <t>法人</t>
        </is>
      </c>
    </row>
    <row r="24">
      <c r="A24" s="8" t="n">
        <v>45728</v>
      </c>
      <c r="B24" s="3" t="inlineStr">
        <is>
          <t>Webカメラ</t>
        </is>
      </c>
      <c r="C24" s="3" t="inlineStr">
        <is>
          <t>九州</t>
        </is>
      </c>
      <c r="D24" s="4" t="n">
        <v>7000</v>
      </c>
      <c r="E24" s="3" t="inlineStr">
        <is>
          <t>個人</t>
        </is>
      </c>
    </row>
    <row r="25">
      <c r="A25" s="9" t="n">
        <v>45729</v>
      </c>
      <c r="B25" s="6" t="inlineStr">
        <is>
          <t>デスクトップPC</t>
        </is>
      </c>
      <c r="C25" s="6" t="inlineStr">
        <is>
          <t>東北</t>
        </is>
      </c>
      <c r="D25" s="7" t="n">
        <v>135000</v>
      </c>
      <c r="E25" s="6" t="inlineStr">
        <is>
          <t>法人</t>
        </is>
      </c>
    </row>
    <row r="26">
      <c r="A26" s="8" t="n">
        <v>45729</v>
      </c>
      <c r="B26" s="3" t="inlineStr">
        <is>
          <t>キーボード</t>
        </is>
      </c>
      <c r="C26" s="3" t="inlineStr">
        <is>
          <t>関東</t>
        </is>
      </c>
      <c r="D26" s="4" t="n">
        <v>11000</v>
      </c>
      <c r="E26" s="3" t="inlineStr">
        <is>
          <t>法人</t>
        </is>
      </c>
    </row>
    <row r="27">
      <c r="A27" s="9" t="n">
        <v>45733</v>
      </c>
      <c r="B27" s="6" t="inlineStr">
        <is>
          <t>キーボード</t>
        </is>
      </c>
      <c r="C27" s="6" t="inlineStr">
        <is>
          <t>関東</t>
        </is>
      </c>
      <c r="D27" s="7" t="n">
        <v>4000</v>
      </c>
      <c r="E27" s="6" t="inlineStr">
        <is>
          <t>法人</t>
        </is>
      </c>
    </row>
    <row r="28">
      <c r="A28" s="8" t="n">
        <v>45742</v>
      </c>
      <c r="B28" s="3" t="inlineStr">
        <is>
          <t>プリンター</t>
        </is>
      </c>
      <c r="C28" s="3" t="inlineStr">
        <is>
          <t>四国</t>
        </is>
      </c>
      <c r="D28" s="4" t="n">
        <v>42000</v>
      </c>
      <c r="E28" s="3" t="inlineStr">
        <is>
          <t>個人</t>
        </is>
      </c>
    </row>
    <row r="29">
      <c r="A29" s="9" t="n">
        <v>45759</v>
      </c>
      <c r="B29" s="6" t="inlineStr">
        <is>
          <t>タブレット</t>
        </is>
      </c>
      <c r="C29" s="6" t="inlineStr">
        <is>
          <t>中国</t>
        </is>
      </c>
      <c r="D29" s="7" t="n">
        <v>60000</v>
      </c>
      <c r="E29" s="6" t="inlineStr">
        <is>
          <t>法人</t>
        </is>
      </c>
    </row>
    <row r="30">
      <c r="A30" s="8" t="n">
        <v>45765</v>
      </c>
      <c r="B30" s="3" t="inlineStr">
        <is>
          <t>モニター</t>
        </is>
      </c>
      <c r="C30" s="3" t="inlineStr">
        <is>
          <t>中部</t>
        </is>
      </c>
      <c r="D30" s="4" t="n">
        <v>53000</v>
      </c>
      <c r="E30" s="3" t="inlineStr">
        <is>
          <t>法人</t>
        </is>
      </c>
    </row>
    <row r="31">
      <c r="A31" s="9" t="n">
        <v>45767</v>
      </c>
      <c r="B31" s="6" t="inlineStr">
        <is>
          <t>Webカメラ</t>
        </is>
      </c>
      <c r="C31" s="6" t="inlineStr">
        <is>
          <t>関東</t>
        </is>
      </c>
      <c r="D31" s="7" t="n">
        <v>28000</v>
      </c>
      <c r="E31" s="6" t="inlineStr">
        <is>
          <t>個人</t>
        </is>
      </c>
    </row>
    <row r="32">
      <c r="A32" s="8" t="n">
        <v>45768</v>
      </c>
      <c r="B32" s="3" t="inlineStr">
        <is>
          <t>モニター</t>
        </is>
      </c>
      <c r="C32" s="3" t="inlineStr">
        <is>
          <t>東北</t>
        </is>
      </c>
      <c r="D32" s="4" t="n">
        <v>31000</v>
      </c>
      <c r="E32" s="3" t="inlineStr">
        <is>
          <t>法人</t>
        </is>
      </c>
    </row>
    <row r="33">
      <c r="A33" s="9" t="n">
        <v>45771</v>
      </c>
      <c r="B33" s="6" t="inlineStr">
        <is>
          <t>スマートフォン</t>
        </is>
      </c>
      <c r="C33" s="6" t="inlineStr">
        <is>
          <t>九州</t>
        </is>
      </c>
      <c r="D33" s="7" t="n">
        <v>94000</v>
      </c>
      <c r="E33" s="6" t="inlineStr">
        <is>
          <t>法人</t>
        </is>
      </c>
    </row>
    <row r="34">
      <c r="A34" s="8" t="n">
        <v>45774</v>
      </c>
      <c r="B34" s="3" t="inlineStr">
        <is>
          <t>スマートフォン</t>
        </is>
      </c>
      <c r="C34" s="3" t="inlineStr">
        <is>
          <t>北海道</t>
        </is>
      </c>
      <c r="D34" s="4" t="n">
        <v>74000</v>
      </c>
      <c r="E34" s="3" t="inlineStr">
        <is>
          <t>法人</t>
        </is>
      </c>
    </row>
    <row r="35">
      <c r="A35" s="9" t="n">
        <v>45778</v>
      </c>
      <c r="B35" s="6" t="inlineStr">
        <is>
          <t>キーボード</t>
        </is>
      </c>
      <c r="C35" s="6" t="inlineStr">
        <is>
          <t>東北</t>
        </is>
      </c>
      <c r="D35" s="7" t="n">
        <v>10000</v>
      </c>
      <c r="E35" s="6" t="inlineStr">
        <is>
          <t>法人</t>
        </is>
      </c>
    </row>
    <row r="36">
      <c r="A36" s="8" t="n">
        <v>45778</v>
      </c>
      <c r="B36" s="3" t="inlineStr">
        <is>
          <t>プリンター</t>
        </is>
      </c>
      <c r="C36" s="3" t="inlineStr">
        <is>
          <t>中部</t>
        </is>
      </c>
      <c r="D36" s="4" t="n">
        <v>40000</v>
      </c>
      <c r="E36" s="3" t="inlineStr">
        <is>
          <t>法人</t>
        </is>
      </c>
    </row>
    <row r="37">
      <c r="A37" s="9" t="n">
        <v>45779</v>
      </c>
      <c r="B37" s="6" t="inlineStr">
        <is>
          <t>タブレット</t>
        </is>
      </c>
      <c r="C37" s="6" t="inlineStr">
        <is>
          <t>四国</t>
        </is>
      </c>
      <c r="D37" s="7" t="n">
        <v>102000</v>
      </c>
      <c r="E37" s="6" t="inlineStr">
        <is>
          <t>法人</t>
        </is>
      </c>
    </row>
    <row r="38">
      <c r="A38" s="8" t="n">
        <v>45779</v>
      </c>
      <c r="B38" s="3" t="inlineStr">
        <is>
          <t>タブレット</t>
        </is>
      </c>
      <c r="C38" s="3" t="inlineStr">
        <is>
          <t>関東</t>
        </is>
      </c>
      <c r="D38" s="4" t="n">
        <v>92000</v>
      </c>
      <c r="E38" s="3" t="inlineStr">
        <is>
          <t>法人</t>
        </is>
      </c>
    </row>
    <row r="39">
      <c r="A39" s="9" t="n">
        <v>45783</v>
      </c>
      <c r="B39" s="6" t="inlineStr">
        <is>
          <t>タブレット</t>
        </is>
      </c>
      <c r="C39" s="6" t="inlineStr">
        <is>
          <t>九州</t>
        </is>
      </c>
      <c r="D39" s="7" t="n">
        <v>88000</v>
      </c>
      <c r="E39" s="6" t="inlineStr">
        <is>
          <t>法人</t>
        </is>
      </c>
    </row>
    <row r="40">
      <c r="A40" s="8" t="n">
        <v>45784</v>
      </c>
      <c r="B40" s="3" t="inlineStr">
        <is>
          <t>スマートフォン</t>
        </is>
      </c>
      <c r="C40" s="3" t="inlineStr">
        <is>
          <t>東北</t>
        </is>
      </c>
      <c r="D40" s="4" t="n">
        <v>93000</v>
      </c>
      <c r="E40" s="3" t="inlineStr">
        <is>
          <t>法人</t>
        </is>
      </c>
    </row>
    <row r="41">
      <c r="A41" s="9" t="n">
        <v>45786</v>
      </c>
      <c r="B41" s="6" t="inlineStr">
        <is>
          <t>ノートPC</t>
        </is>
      </c>
      <c r="C41" s="6" t="inlineStr">
        <is>
          <t>東北</t>
        </is>
      </c>
      <c r="D41" s="7" t="n">
        <v>161000</v>
      </c>
      <c r="E41" s="6" t="inlineStr">
        <is>
          <t>法人</t>
        </is>
      </c>
    </row>
    <row r="42">
      <c r="A42" s="8" t="n">
        <v>45791</v>
      </c>
      <c r="B42" s="3" t="inlineStr">
        <is>
          <t>タブレット</t>
        </is>
      </c>
      <c r="C42" s="3" t="inlineStr">
        <is>
          <t>近畿</t>
        </is>
      </c>
      <c r="D42" s="4" t="n">
        <v>44000</v>
      </c>
      <c r="E42" s="3" t="inlineStr">
        <is>
          <t>法人</t>
        </is>
      </c>
    </row>
    <row r="43">
      <c r="A43" s="9" t="n">
        <v>45794</v>
      </c>
      <c r="B43" s="6" t="inlineStr">
        <is>
          <t>モニター</t>
        </is>
      </c>
      <c r="C43" s="6" t="inlineStr">
        <is>
          <t>東北</t>
        </is>
      </c>
      <c r="D43" s="7" t="n">
        <v>57000</v>
      </c>
      <c r="E43" s="6" t="inlineStr">
        <is>
          <t>法人</t>
        </is>
      </c>
    </row>
    <row r="44">
      <c r="A44" s="8" t="n">
        <v>45799</v>
      </c>
      <c r="B44" s="3" t="inlineStr">
        <is>
          <t>ノートPC</t>
        </is>
      </c>
      <c r="C44" s="3" t="inlineStr">
        <is>
          <t>北海道</t>
        </is>
      </c>
      <c r="D44" s="4" t="n">
        <v>122000</v>
      </c>
      <c r="E44" s="3" t="inlineStr">
        <is>
          <t>個人</t>
        </is>
      </c>
    </row>
    <row r="45">
      <c r="A45" s="9" t="n">
        <v>45800</v>
      </c>
      <c r="B45" s="6" t="inlineStr">
        <is>
          <t>デスクトップPC</t>
        </is>
      </c>
      <c r="C45" s="6" t="inlineStr">
        <is>
          <t>近畿</t>
        </is>
      </c>
      <c r="D45" s="7" t="n">
        <v>104000</v>
      </c>
      <c r="E45" s="6" t="inlineStr">
        <is>
          <t>個人</t>
        </is>
      </c>
    </row>
    <row r="46">
      <c r="A46" s="8" t="n">
        <v>45803</v>
      </c>
      <c r="B46" s="3" t="inlineStr">
        <is>
          <t>Webカメラ</t>
        </is>
      </c>
      <c r="C46" s="3" t="inlineStr">
        <is>
          <t>中国</t>
        </is>
      </c>
      <c r="D46" s="4" t="n">
        <v>7000</v>
      </c>
      <c r="E46" s="3" t="inlineStr">
        <is>
          <t>個人</t>
        </is>
      </c>
    </row>
    <row r="47">
      <c r="A47" s="9" t="n">
        <v>45811</v>
      </c>
      <c r="B47" s="6" t="inlineStr">
        <is>
          <t>デスクトップPC</t>
        </is>
      </c>
      <c r="C47" s="6" t="inlineStr">
        <is>
          <t>関東</t>
        </is>
      </c>
      <c r="D47" s="7" t="n">
        <v>93000</v>
      </c>
      <c r="E47" s="6" t="inlineStr">
        <is>
          <t>法人</t>
        </is>
      </c>
    </row>
    <row r="48">
      <c r="A48" s="8" t="n">
        <v>45811</v>
      </c>
      <c r="B48" s="3" t="inlineStr">
        <is>
          <t>Webカメラ</t>
        </is>
      </c>
      <c r="C48" s="3" t="inlineStr">
        <is>
          <t>近畿</t>
        </is>
      </c>
      <c r="D48" s="4" t="n">
        <v>26000</v>
      </c>
      <c r="E48" s="3" t="inlineStr">
        <is>
          <t>法人</t>
        </is>
      </c>
    </row>
    <row r="49">
      <c r="A49" s="9" t="n">
        <v>45818</v>
      </c>
      <c r="B49" s="6" t="inlineStr">
        <is>
          <t>スマートフォン</t>
        </is>
      </c>
      <c r="C49" s="6" t="inlineStr">
        <is>
          <t>近畿</t>
        </is>
      </c>
      <c r="D49" s="7" t="n">
        <v>100000</v>
      </c>
      <c r="E49" s="6" t="inlineStr">
        <is>
          <t>法人</t>
        </is>
      </c>
    </row>
    <row r="50">
      <c r="A50" s="8" t="n">
        <v>45827</v>
      </c>
      <c r="B50" s="3" t="inlineStr">
        <is>
          <t>デスクトップPC</t>
        </is>
      </c>
      <c r="C50" s="3" t="inlineStr">
        <is>
          <t>中部</t>
        </is>
      </c>
      <c r="D50" s="4" t="n">
        <v>95000</v>
      </c>
      <c r="E50" s="3" t="inlineStr">
        <is>
          <t>個人</t>
        </is>
      </c>
    </row>
    <row r="51">
      <c r="A51" s="9" t="n">
        <v>45828</v>
      </c>
      <c r="B51" s="6" t="inlineStr">
        <is>
          <t>キーボード</t>
        </is>
      </c>
      <c r="C51" s="6" t="inlineStr">
        <is>
          <t>中部</t>
        </is>
      </c>
      <c r="D51" s="7" t="n">
        <v>11000</v>
      </c>
      <c r="E51" s="6" t="inlineStr">
        <is>
          <t>法人</t>
        </is>
      </c>
    </row>
    <row r="52">
      <c r="A52" s="8" t="n">
        <v>45836</v>
      </c>
      <c r="B52" s="3" t="inlineStr">
        <is>
          <t>デスクトップPC</t>
        </is>
      </c>
      <c r="C52" s="3" t="inlineStr">
        <is>
          <t>中部</t>
        </is>
      </c>
      <c r="D52" s="4" t="n">
        <v>107000</v>
      </c>
      <c r="E52" s="3" t="inlineStr">
        <is>
          <t>法人</t>
        </is>
      </c>
    </row>
    <row r="53">
      <c r="A53" s="9" t="n">
        <v>45839</v>
      </c>
      <c r="B53" s="6" t="inlineStr">
        <is>
          <t>キーボード</t>
        </is>
      </c>
      <c r="C53" s="6" t="inlineStr">
        <is>
          <t>四国</t>
        </is>
      </c>
      <c r="D53" s="7" t="n">
        <v>17000</v>
      </c>
      <c r="E53" s="6" t="inlineStr">
        <is>
          <t>個人</t>
        </is>
      </c>
    </row>
    <row r="54">
      <c r="A54" s="8" t="n">
        <v>45839</v>
      </c>
      <c r="B54" s="3" t="inlineStr">
        <is>
          <t>Webカメラ</t>
        </is>
      </c>
      <c r="C54" s="3" t="inlineStr">
        <is>
          <t>四国</t>
        </is>
      </c>
      <c r="D54" s="4" t="n">
        <v>24000</v>
      </c>
      <c r="E54" s="3" t="inlineStr">
        <is>
          <t>個人</t>
        </is>
      </c>
    </row>
    <row r="55">
      <c r="A55" s="9" t="n">
        <v>45841</v>
      </c>
      <c r="B55" s="6" t="inlineStr">
        <is>
          <t>モニター</t>
        </is>
      </c>
      <c r="C55" s="6" t="inlineStr">
        <is>
          <t>近畿</t>
        </is>
      </c>
      <c r="D55" s="7" t="n">
        <v>25000</v>
      </c>
      <c r="E55" s="6" t="inlineStr">
        <is>
          <t>個人</t>
        </is>
      </c>
    </row>
    <row r="56">
      <c r="A56" s="8" t="n">
        <v>45843</v>
      </c>
      <c r="B56" s="3" t="inlineStr">
        <is>
          <t>プリンター</t>
        </is>
      </c>
      <c r="C56" s="3" t="inlineStr">
        <is>
          <t>中部</t>
        </is>
      </c>
      <c r="D56" s="4" t="n">
        <v>22000</v>
      </c>
      <c r="E56" s="3" t="inlineStr">
        <is>
          <t>法人</t>
        </is>
      </c>
    </row>
    <row r="57">
      <c r="A57" s="9" t="n">
        <v>45852</v>
      </c>
      <c r="B57" s="6" t="inlineStr">
        <is>
          <t>タブレット</t>
        </is>
      </c>
      <c r="C57" s="6" t="inlineStr">
        <is>
          <t>近畿</t>
        </is>
      </c>
      <c r="D57" s="7" t="n">
        <v>91000</v>
      </c>
      <c r="E57" s="6" t="inlineStr">
        <is>
          <t>法人</t>
        </is>
      </c>
    </row>
    <row r="58">
      <c r="A58" s="8" t="n">
        <v>45855</v>
      </c>
      <c r="B58" s="3" t="inlineStr">
        <is>
          <t>キーボード</t>
        </is>
      </c>
      <c r="C58" s="3" t="inlineStr">
        <is>
          <t>九州</t>
        </is>
      </c>
      <c r="D58" s="4" t="n">
        <v>19000</v>
      </c>
      <c r="E58" s="3" t="inlineStr">
        <is>
          <t>法人</t>
        </is>
      </c>
    </row>
    <row r="59">
      <c r="A59" s="9" t="n">
        <v>45857</v>
      </c>
      <c r="B59" s="6" t="inlineStr">
        <is>
          <t>プリンター</t>
        </is>
      </c>
      <c r="C59" s="6" t="inlineStr">
        <is>
          <t>九州</t>
        </is>
      </c>
      <c r="D59" s="7" t="n">
        <v>51000</v>
      </c>
      <c r="E59" s="6" t="inlineStr">
        <is>
          <t>法人</t>
        </is>
      </c>
    </row>
    <row r="60">
      <c r="A60" s="8" t="n">
        <v>45860</v>
      </c>
      <c r="B60" s="3" t="inlineStr">
        <is>
          <t>マウス</t>
        </is>
      </c>
      <c r="C60" s="3" t="inlineStr">
        <is>
          <t>関東</t>
        </is>
      </c>
      <c r="D60" s="4" t="n">
        <v>6000</v>
      </c>
      <c r="E60" s="3" t="inlineStr">
        <is>
          <t>法人</t>
        </is>
      </c>
    </row>
    <row r="61">
      <c r="A61" s="9" t="n">
        <v>45862</v>
      </c>
      <c r="B61" s="6" t="inlineStr">
        <is>
          <t>Webカメラ</t>
        </is>
      </c>
      <c r="C61" s="6" t="inlineStr">
        <is>
          <t>中国</t>
        </is>
      </c>
      <c r="D61" s="7" t="n">
        <v>5000</v>
      </c>
      <c r="E61" s="6" t="inlineStr">
        <is>
          <t>法人</t>
        </is>
      </c>
    </row>
    <row r="62">
      <c r="A62" s="8" t="n">
        <v>45863</v>
      </c>
      <c r="B62" s="3" t="inlineStr">
        <is>
          <t>ノートPC</t>
        </is>
      </c>
      <c r="C62" s="3" t="inlineStr">
        <is>
          <t>関東</t>
        </is>
      </c>
      <c r="D62" s="4" t="n">
        <v>128000</v>
      </c>
      <c r="E62" s="3" t="inlineStr">
        <is>
          <t>法人</t>
        </is>
      </c>
    </row>
    <row r="63">
      <c r="A63" s="9" t="n">
        <v>45864</v>
      </c>
      <c r="B63" s="6" t="inlineStr">
        <is>
          <t>プリンター</t>
        </is>
      </c>
      <c r="C63" s="6" t="inlineStr">
        <is>
          <t>関東</t>
        </is>
      </c>
      <c r="D63" s="7" t="n">
        <v>39000</v>
      </c>
      <c r="E63" s="6" t="inlineStr">
        <is>
          <t>法人</t>
        </is>
      </c>
    </row>
    <row r="64">
      <c r="A64" s="8" t="n">
        <v>45866</v>
      </c>
      <c r="B64" s="3" t="inlineStr">
        <is>
          <t>スマートフォン</t>
        </is>
      </c>
      <c r="C64" s="3" t="inlineStr">
        <is>
          <t>東北</t>
        </is>
      </c>
      <c r="D64" s="4" t="n">
        <v>62000</v>
      </c>
      <c r="E64" s="3" t="inlineStr">
        <is>
          <t>個人</t>
        </is>
      </c>
    </row>
    <row r="65">
      <c r="A65" s="9" t="n">
        <v>45876</v>
      </c>
      <c r="B65" s="6" t="inlineStr">
        <is>
          <t>Webカメラ</t>
        </is>
      </c>
      <c r="C65" s="6" t="inlineStr">
        <is>
          <t>北海道</t>
        </is>
      </c>
      <c r="D65" s="7" t="n">
        <v>8000</v>
      </c>
      <c r="E65" s="6" t="inlineStr">
        <is>
          <t>法人</t>
        </is>
      </c>
    </row>
    <row r="66">
      <c r="A66" s="8" t="n">
        <v>45880</v>
      </c>
      <c r="B66" s="3" t="inlineStr">
        <is>
          <t>モニター</t>
        </is>
      </c>
      <c r="C66" s="3" t="inlineStr">
        <is>
          <t>中国</t>
        </is>
      </c>
      <c r="D66" s="4" t="n">
        <v>75000</v>
      </c>
      <c r="E66" s="3" t="inlineStr">
        <is>
          <t>個人</t>
        </is>
      </c>
    </row>
    <row r="67">
      <c r="A67" s="9" t="n">
        <v>45882</v>
      </c>
      <c r="B67" s="6" t="inlineStr">
        <is>
          <t>Webカメラ</t>
        </is>
      </c>
      <c r="C67" s="6" t="inlineStr">
        <is>
          <t>近畿</t>
        </is>
      </c>
      <c r="D67" s="7" t="n">
        <v>24000</v>
      </c>
      <c r="E67" s="6" t="inlineStr">
        <is>
          <t>個人</t>
        </is>
      </c>
    </row>
    <row r="68">
      <c r="A68" s="8" t="n">
        <v>45890</v>
      </c>
      <c r="B68" s="3" t="inlineStr">
        <is>
          <t>ノートPC</t>
        </is>
      </c>
      <c r="C68" s="3" t="inlineStr">
        <is>
          <t>近畿</t>
        </is>
      </c>
      <c r="D68" s="4" t="n">
        <v>144000</v>
      </c>
      <c r="E68" s="3" t="inlineStr">
        <is>
          <t>個人</t>
        </is>
      </c>
    </row>
    <row r="69">
      <c r="A69" s="9" t="n">
        <v>45917</v>
      </c>
      <c r="B69" s="6" t="inlineStr">
        <is>
          <t>デスクトップPC</t>
        </is>
      </c>
      <c r="C69" s="6" t="inlineStr">
        <is>
          <t>近畿</t>
        </is>
      </c>
      <c r="D69" s="7" t="n">
        <v>141000</v>
      </c>
      <c r="E69" s="6" t="inlineStr">
        <is>
          <t>法人</t>
        </is>
      </c>
    </row>
    <row r="70">
      <c r="A70" s="8" t="n">
        <v>45919</v>
      </c>
      <c r="B70" s="3" t="inlineStr">
        <is>
          <t>デスクトップPC</t>
        </is>
      </c>
      <c r="C70" s="3" t="inlineStr">
        <is>
          <t>四国</t>
        </is>
      </c>
      <c r="D70" s="4" t="n">
        <v>133000</v>
      </c>
      <c r="E70" s="3" t="inlineStr">
        <is>
          <t>法人</t>
        </is>
      </c>
    </row>
    <row r="71">
      <c r="A71" s="9" t="n">
        <v>45929</v>
      </c>
      <c r="B71" s="6" t="inlineStr">
        <is>
          <t>ノートPC</t>
        </is>
      </c>
      <c r="C71" s="6" t="inlineStr">
        <is>
          <t>中国</t>
        </is>
      </c>
      <c r="D71" s="7" t="n">
        <v>142000</v>
      </c>
      <c r="E71" s="6" t="inlineStr">
        <is>
          <t>法人</t>
        </is>
      </c>
    </row>
    <row r="72">
      <c r="A72" s="8" t="n">
        <v>45930</v>
      </c>
      <c r="B72" s="3" t="inlineStr">
        <is>
          <t>タブレット</t>
        </is>
      </c>
      <c r="C72" s="3" t="inlineStr">
        <is>
          <t>関東</t>
        </is>
      </c>
      <c r="D72" s="4" t="n">
        <v>100000</v>
      </c>
      <c r="E72" s="3" t="inlineStr">
        <is>
          <t>個人</t>
        </is>
      </c>
    </row>
    <row r="73">
      <c r="A73" s="9" t="n">
        <v>45932</v>
      </c>
      <c r="B73" s="6" t="inlineStr">
        <is>
          <t>デスクトップPC</t>
        </is>
      </c>
      <c r="C73" s="6" t="inlineStr">
        <is>
          <t>四国</t>
        </is>
      </c>
      <c r="D73" s="7" t="n">
        <v>70000</v>
      </c>
      <c r="E73" s="6" t="inlineStr">
        <is>
          <t>法人</t>
        </is>
      </c>
    </row>
    <row r="74">
      <c r="A74" s="8" t="n">
        <v>45933</v>
      </c>
      <c r="B74" s="3" t="inlineStr">
        <is>
          <t>スマートフォン</t>
        </is>
      </c>
      <c r="C74" s="3" t="inlineStr">
        <is>
          <t>中国</t>
        </is>
      </c>
      <c r="D74" s="4" t="n">
        <v>105000</v>
      </c>
      <c r="E74" s="3" t="inlineStr">
        <is>
          <t>法人</t>
        </is>
      </c>
    </row>
    <row r="75">
      <c r="A75" s="9" t="n">
        <v>45934</v>
      </c>
      <c r="B75" s="6" t="inlineStr">
        <is>
          <t>ノートPC</t>
        </is>
      </c>
      <c r="C75" s="6" t="inlineStr">
        <is>
          <t>東北</t>
        </is>
      </c>
      <c r="D75" s="7" t="n">
        <v>198000</v>
      </c>
      <c r="E75" s="6" t="inlineStr">
        <is>
          <t>個人</t>
        </is>
      </c>
    </row>
    <row r="76">
      <c r="A76" s="8" t="n">
        <v>45937</v>
      </c>
      <c r="B76" s="3" t="inlineStr">
        <is>
          <t>キーボード</t>
        </is>
      </c>
      <c r="C76" s="3" t="inlineStr">
        <is>
          <t>中部</t>
        </is>
      </c>
      <c r="D76" s="4" t="n">
        <v>17000</v>
      </c>
      <c r="E76" s="3" t="inlineStr">
        <is>
          <t>法人</t>
        </is>
      </c>
    </row>
    <row r="77">
      <c r="A77" s="9" t="n">
        <v>45941</v>
      </c>
      <c r="B77" s="6" t="inlineStr">
        <is>
          <t>ノートPC</t>
        </is>
      </c>
      <c r="C77" s="6" t="inlineStr">
        <is>
          <t>東北</t>
        </is>
      </c>
      <c r="D77" s="7" t="n">
        <v>167000</v>
      </c>
      <c r="E77" s="6" t="inlineStr">
        <is>
          <t>個人</t>
        </is>
      </c>
    </row>
    <row r="78">
      <c r="A78" s="8" t="n">
        <v>45941</v>
      </c>
      <c r="B78" s="3" t="inlineStr">
        <is>
          <t>スマートフォン</t>
        </is>
      </c>
      <c r="C78" s="3" t="inlineStr">
        <is>
          <t>中部</t>
        </is>
      </c>
      <c r="D78" s="4" t="n">
        <v>50000</v>
      </c>
      <c r="E78" s="3" t="inlineStr">
        <is>
          <t>法人</t>
        </is>
      </c>
    </row>
    <row r="79">
      <c r="A79" s="9" t="n">
        <v>45942</v>
      </c>
      <c r="B79" s="6" t="inlineStr">
        <is>
          <t>マウス</t>
        </is>
      </c>
      <c r="C79" s="6" t="inlineStr">
        <is>
          <t>関東</t>
        </is>
      </c>
      <c r="D79" s="7" t="n">
        <v>5000</v>
      </c>
      <c r="E79" s="6" t="inlineStr">
        <is>
          <t>法人</t>
        </is>
      </c>
    </row>
    <row r="80">
      <c r="A80" s="8" t="n">
        <v>45945</v>
      </c>
      <c r="B80" s="3" t="inlineStr">
        <is>
          <t>Webカメラ</t>
        </is>
      </c>
      <c r="C80" s="3" t="inlineStr">
        <is>
          <t>近畿</t>
        </is>
      </c>
      <c r="D80" s="4" t="n">
        <v>28000</v>
      </c>
      <c r="E80" s="3" t="inlineStr">
        <is>
          <t>法人</t>
        </is>
      </c>
    </row>
    <row r="81">
      <c r="A81" s="9" t="n">
        <v>45947</v>
      </c>
      <c r="B81" s="6" t="inlineStr">
        <is>
          <t>Webカメラ</t>
        </is>
      </c>
      <c r="C81" s="6" t="inlineStr">
        <is>
          <t>中国</t>
        </is>
      </c>
      <c r="D81" s="7" t="n">
        <v>13000</v>
      </c>
      <c r="E81" s="6" t="inlineStr">
        <is>
          <t>法人</t>
        </is>
      </c>
    </row>
    <row r="82">
      <c r="A82" s="8" t="n">
        <v>45948</v>
      </c>
      <c r="B82" s="3" t="inlineStr">
        <is>
          <t>デスクトップPC</t>
        </is>
      </c>
      <c r="C82" s="3" t="inlineStr">
        <is>
          <t>東北</t>
        </is>
      </c>
      <c r="D82" s="4" t="n">
        <v>122000</v>
      </c>
      <c r="E82" s="3" t="inlineStr">
        <is>
          <t>個人</t>
        </is>
      </c>
    </row>
    <row r="83">
      <c r="A83" s="9" t="n">
        <v>45950</v>
      </c>
      <c r="B83" s="6" t="inlineStr">
        <is>
          <t>ヘッドセット</t>
        </is>
      </c>
      <c r="C83" s="6" t="inlineStr">
        <is>
          <t>九州</t>
        </is>
      </c>
      <c r="D83" s="7" t="n">
        <v>20000</v>
      </c>
      <c r="E83" s="6" t="inlineStr">
        <is>
          <t>個人</t>
        </is>
      </c>
    </row>
    <row r="84">
      <c r="A84" s="8" t="n">
        <v>45954</v>
      </c>
      <c r="B84" s="3" t="inlineStr">
        <is>
          <t>ヘッドセット</t>
        </is>
      </c>
      <c r="C84" s="3" t="inlineStr">
        <is>
          <t>中国</t>
        </is>
      </c>
      <c r="D84" s="4" t="n">
        <v>34000</v>
      </c>
      <c r="E84" s="3" t="inlineStr">
        <is>
          <t>法人</t>
        </is>
      </c>
    </row>
    <row r="85">
      <c r="A85" s="9" t="n">
        <v>45956</v>
      </c>
      <c r="B85" s="6" t="inlineStr">
        <is>
          <t>キーボード</t>
        </is>
      </c>
      <c r="C85" s="6" t="inlineStr">
        <is>
          <t>中国</t>
        </is>
      </c>
      <c r="D85" s="7" t="n">
        <v>10000</v>
      </c>
      <c r="E85" s="6" t="inlineStr">
        <is>
          <t>個人</t>
        </is>
      </c>
    </row>
    <row r="86">
      <c r="A86" s="8" t="n">
        <v>45957</v>
      </c>
      <c r="B86" s="3" t="inlineStr">
        <is>
          <t>マウス</t>
        </is>
      </c>
      <c r="C86" s="3" t="inlineStr">
        <is>
          <t>関東</t>
        </is>
      </c>
      <c r="D86" s="4" t="n">
        <v>2000</v>
      </c>
      <c r="E86" s="3" t="inlineStr">
        <is>
          <t>個人</t>
        </is>
      </c>
    </row>
    <row r="87">
      <c r="A87" s="9" t="n">
        <v>45979</v>
      </c>
      <c r="B87" s="6" t="inlineStr">
        <is>
          <t>ヘッドセット</t>
        </is>
      </c>
      <c r="C87" s="6" t="inlineStr">
        <is>
          <t>中国</t>
        </is>
      </c>
      <c r="D87" s="7" t="n">
        <v>41000</v>
      </c>
      <c r="E87" s="6" t="inlineStr">
        <is>
          <t>法人</t>
        </is>
      </c>
    </row>
    <row r="88">
      <c r="A88" s="8" t="n">
        <v>45981</v>
      </c>
      <c r="B88" s="3" t="inlineStr">
        <is>
          <t>ノートPC</t>
        </is>
      </c>
      <c r="C88" s="3" t="inlineStr">
        <is>
          <t>中部</t>
        </is>
      </c>
      <c r="D88" s="4" t="n">
        <v>88000</v>
      </c>
      <c r="E88" s="3" t="inlineStr">
        <is>
          <t>個人</t>
        </is>
      </c>
    </row>
    <row r="89">
      <c r="A89" s="9" t="n">
        <v>45983</v>
      </c>
      <c r="B89" s="6" t="inlineStr">
        <is>
          <t>モニター</t>
        </is>
      </c>
      <c r="C89" s="6" t="inlineStr">
        <is>
          <t>関東</t>
        </is>
      </c>
      <c r="D89" s="7" t="n">
        <v>67000</v>
      </c>
      <c r="E89" s="6" t="inlineStr">
        <is>
          <t>法人</t>
        </is>
      </c>
    </row>
    <row r="90">
      <c r="A90" s="8" t="n">
        <v>45984</v>
      </c>
      <c r="B90" s="3" t="inlineStr">
        <is>
          <t>プリンター</t>
        </is>
      </c>
      <c r="C90" s="3" t="inlineStr">
        <is>
          <t>関東</t>
        </is>
      </c>
      <c r="D90" s="4" t="n">
        <v>71000</v>
      </c>
      <c r="E90" s="3" t="inlineStr">
        <is>
          <t>法人</t>
        </is>
      </c>
    </row>
    <row r="91">
      <c r="A91" s="9" t="n">
        <v>45985</v>
      </c>
      <c r="B91" s="6" t="inlineStr">
        <is>
          <t>デスクトップPC</t>
        </is>
      </c>
      <c r="C91" s="6" t="inlineStr">
        <is>
          <t>北海道</t>
        </is>
      </c>
      <c r="D91" s="7" t="n">
        <v>95000</v>
      </c>
      <c r="E91" s="6" t="inlineStr">
        <is>
          <t>法人</t>
        </is>
      </c>
    </row>
    <row r="92">
      <c r="A92" s="8" t="n">
        <v>45985</v>
      </c>
      <c r="B92" s="3" t="inlineStr">
        <is>
          <t>Webカメラ</t>
        </is>
      </c>
      <c r="C92" s="3" t="inlineStr">
        <is>
          <t>中部</t>
        </is>
      </c>
      <c r="D92" s="4" t="n">
        <v>26000</v>
      </c>
      <c r="E92" s="3" t="inlineStr">
        <is>
          <t>法人</t>
        </is>
      </c>
    </row>
    <row r="93">
      <c r="A93" s="9" t="n">
        <v>45988</v>
      </c>
      <c r="B93" s="6" t="inlineStr">
        <is>
          <t>プリンター</t>
        </is>
      </c>
      <c r="C93" s="6" t="inlineStr">
        <is>
          <t>九州</t>
        </is>
      </c>
      <c r="D93" s="7" t="n">
        <v>55000</v>
      </c>
      <c r="E93" s="6" t="inlineStr">
        <is>
          <t>個人</t>
        </is>
      </c>
    </row>
    <row r="94">
      <c r="A94" s="8" t="n">
        <v>45990</v>
      </c>
      <c r="B94" s="3" t="inlineStr">
        <is>
          <t>モニター</t>
        </is>
      </c>
      <c r="C94" s="3" t="inlineStr">
        <is>
          <t>九州</t>
        </is>
      </c>
      <c r="D94" s="4" t="n">
        <v>86000</v>
      </c>
      <c r="E94" s="3" t="inlineStr">
        <is>
          <t>法人</t>
        </is>
      </c>
    </row>
    <row r="95">
      <c r="A95" s="9" t="n">
        <v>45992</v>
      </c>
      <c r="B95" s="6" t="inlineStr">
        <is>
          <t>Webカメラ</t>
        </is>
      </c>
      <c r="C95" s="6" t="inlineStr">
        <is>
          <t>北海道</t>
        </is>
      </c>
      <c r="D95" s="7" t="n">
        <v>26000</v>
      </c>
      <c r="E95" s="6" t="inlineStr">
        <is>
          <t>個人</t>
        </is>
      </c>
    </row>
    <row r="96">
      <c r="A96" s="8" t="n">
        <v>45998</v>
      </c>
      <c r="B96" s="3" t="inlineStr">
        <is>
          <t>モニター</t>
        </is>
      </c>
      <c r="C96" s="3" t="inlineStr">
        <is>
          <t>中国</t>
        </is>
      </c>
      <c r="D96" s="4" t="n">
        <v>35000</v>
      </c>
      <c r="E96" s="3" t="inlineStr">
        <is>
          <t>個人</t>
        </is>
      </c>
    </row>
    <row r="97">
      <c r="A97" s="9" t="n">
        <v>46001</v>
      </c>
      <c r="B97" s="6" t="inlineStr">
        <is>
          <t>プリンター</t>
        </is>
      </c>
      <c r="C97" s="6" t="inlineStr">
        <is>
          <t>東北</t>
        </is>
      </c>
      <c r="D97" s="7" t="n">
        <v>36000</v>
      </c>
      <c r="E97" s="6" t="inlineStr">
        <is>
          <t>法人</t>
        </is>
      </c>
    </row>
    <row r="98">
      <c r="A98" s="8" t="n">
        <v>46003</v>
      </c>
      <c r="B98" s="3" t="inlineStr">
        <is>
          <t>スマートフォン</t>
        </is>
      </c>
      <c r="C98" s="3" t="inlineStr">
        <is>
          <t>九州</t>
        </is>
      </c>
      <c r="D98" s="4" t="n">
        <v>71000</v>
      </c>
      <c r="E98" s="3" t="inlineStr">
        <is>
          <t>個人</t>
        </is>
      </c>
    </row>
    <row r="99">
      <c r="A99" s="9" t="n">
        <v>46011</v>
      </c>
      <c r="B99" s="6" t="inlineStr">
        <is>
          <t>スマートフォン</t>
        </is>
      </c>
      <c r="C99" s="6" t="inlineStr">
        <is>
          <t>近畿</t>
        </is>
      </c>
      <c r="D99" s="7" t="n">
        <v>101000</v>
      </c>
      <c r="E99" s="6" t="inlineStr">
        <is>
          <t>個人</t>
        </is>
      </c>
    </row>
    <row r="100">
      <c r="A100" s="8" t="n">
        <v>46011</v>
      </c>
      <c r="B100" s="3" t="inlineStr">
        <is>
          <t>タブレット</t>
        </is>
      </c>
      <c r="C100" s="3" t="inlineStr">
        <is>
          <t>北海道</t>
        </is>
      </c>
      <c r="D100" s="4" t="n">
        <v>87000</v>
      </c>
      <c r="E100" s="3" t="inlineStr">
        <is>
          <t>法人</t>
        </is>
      </c>
    </row>
    <row r="101">
      <c r="A101" s="9" t="n">
        <v>46017</v>
      </c>
      <c r="B101" s="6" t="inlineStr">
        <is>
          <t>デスクトップPC</t>
        </is>
      </c>
      <c r="C101" s="6" t="inlineStr">
        <is>
          <t>四国</t>
        </is>
      </c>
      <c r="D101" s="7" t="n">
        <v>64000</v>
      </c>
      <c r="E101" s="6" t="inlineStr">
        <is>
          <t>個人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 ht="22" customHeight="1">
      <c r="A1" s="1" t="inlineStr">
        <is>
          <t>商品名</t>
        </is>
      </c>
      <c r="B1" s="1" t="inlineStr">
        <is>
          <t>売上合計（円）</t>
        </is>
      </c>
      <c r="C1" s="1" t="inlineStr">
        <is>
          <t>構成比（%）</t>
        </is>
      </c>
    </row>
    <row r="2">
      <c r="A2" s="3" t="inlineStr">
        <is>
          <t>ノートPC</t>
        </is>
      </c>
      <c r="B2" s="4">
        <f>SUMIFS(Sheet1!$D$2:$D$101,Sheet1!$B$2:$B$101,A2)</f>
        <v/>
      </c>
      <c r="C2" s="10">
        <f>IF(B12=0,0,B2/B12)</f>
        <v/>
      </c>
    </row>
    <row r="3">
      <c r="A3" s="6" t="inlineStr">
        <is>
          <t>デスクトップPC</t>
        </is>
      </c>
      <c r="B3" s="7">
        <f>SUMIFS(Sheet1!$D$2:$D$101,Sheet1!$B$2:$B$101,A3)</f>
        <v/>
      </c>
      <c r="C3" s="11">
        <f>IF(B12=0,0,B3/B12)</f>
        <v/>
      </c>
    </row>
    <row r="4">
      <c r="A4" s="3" t="inlineStr">
        <is>
          <t>タブレット</t>
        </is>
      </c>
      <c r="B4" s="4">
        <f>SUMIFS(Sheet1!$D$2:$D$101,Sheet1!$B$2:$B$101,A4)</f>
        <v/>
      </c>
      <c r="C4" s="10">
        <f>IF(B12=0,0,B4/B12)</f>
        <v/>
      </c>
    </row>
    <row r="5">
      <c r="A5" s="6" t="inlineStr">
        <is>
          <t>スマートフォン</t>
        </is>
      </c>
      <c r="B5" s="7">
        <f>SUMIFS(Sheet1!$D$2:$D$101,Sheet1!$B$2:$B$101,A5)</f>
        <v/>
      </c>
      <c r="C5" s="11">
        <f>IF(B12=0,0,B5/B12)</f>
        <v/>
      </c>
    </row>
    <row r="6">
      <c r="A6" s="3" t="inlineStr">
        <is>
          <t>プリンター</t>
        </is>
      </c>
      <c r="B6" s="4">
        <f>SUMIFS(Sheet1!$D$2:$D$101,Sheet1!$B$2:$B$101,A6)</f>
        <v/>
      </c>
      <c r="C6" s="10">
        <f>IF(B12=0,0,B6/B12)</f>
        <v/>
      </c>
    </row>
    <row r="7">
      <c r="A7" s="6" t="inlineStr">
        <is>
          <t>モニター</t>
        </is>
      </c>
      <c r="B7" s="7">
        <f>SUMIFS(Sheet1!$D$2:$D$101,Sheet1!$B$2:$B$101,A7)</f>
        <v/>
      </c>
      <c r="C7" s="11">
        <f>IF(B12=0,0,B7/B12)</f>
        <v/>
      </c>
    </row>
    <row r="8">
      <c r="A8" s="3" t="inlineStr">
        <is>
          <t>キーボード</t>
        </is>
      </c>
      <c r="B8" s="4">
        <f>SUMIFS(Sheet1!$D$2:$D$101,Sheet1!$B$2:$B$101,A8)</f>
        <v/>
      </c>
      <c r="C8" s="10">
        <f>IF(B12=0,0,B8/B12)</f>
        <v/>
      </c>
    </row>
    <row r="9">
      <c r="A9" s="6" t="inlineStr">
        <is>
          <t>マウス</t>
        </is>
      </c>
      <c r="B9" s="7">
        <f>SUMIFS(Sheet1!$D$2:$D$101,Sheet1!$B$2:$B$101,A9)</f>
        <v/>
      </c>
      <c r="C9" s="11">
        <f>IF(B12=0,0,B9/B12)</f>
        <v/>
      </c>
    </row>
    <row r="10">
      <c r="A10" s="3" t="inlineStr">
        <is>
          <t>Webカメラ</t>
        </is>
      </c>
      <c r="B10" s="4">
        <f>SUMIFS(Sheet1!$D$2:$D$101,Sheet1!$B$2:$B$101,A10)</f>
        <v/>
      </c>
      <c r="C10" s="10">
        <f>IF(B12=0,0,B10/B12)</f>
        <v/>
      </c>
    </row>
    <row r="11">
      <c r="A11" s="6" t="inlineStr">
        <is>
          <t>ヘッドセット</t>
        </is>
      </c>
      <c r="B11" s="7">
        <f>SUMIFS(Sheet1!$D$2:$D$101,Sheet1!$B$2:$B$101,A11)</f>
        <v/>
      </c>
      <c r="C11" s="11">
        <f>IF(B12=0,0,B11/B12)</f>
        <v/>
      </c>
    </row>
    <row r="12">
      <c r="A12" s="12" t="inlineStr">
        <is>
          <t>合計</t>
        </is>
      </c>
      <c r="B12" s="13">
        <f>SUM(B2:B11)</f>
        <v/>
      </c>
      <c r="C12" s="14">
        <f>SUM(C2:C11)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 ht="22" customHeight="1">
      <c r="A1" s="1" t="inlineStr">
        <is>
          <t>地域</t>
        </is>
      </c>
      <c r="B1" s="1" t="inlineStr">
        <is>
          <t>売上合計（円）</t>
        </is>
      </c>
      <c r="C1" s="1" t="inlineStr">
        <is>
          <t>構成比（%）</t>
        </is>
      </c>
    </row>
    <row r="2">
      <c r="A2" s="3" t="inlineStr">
        <is>
          <t>北海道</t>
        </is>
      </c>
      <c r="B2" s="4">
        <f>SUMIFS(Sheet1!$D$2:$D$101,Sheet1!$C$2:$C$101,A2)</f>
        <v/>
      </c>
      <c r="C2" s="10">
        <f>IF(B10=0,0,B2/B10)</f>
        <v/>
      </c>
    </row>
    <row r="3">
      <c r="A3" s="6" t="inlineStr">
        <is>
          <t>東北</t>
        </is>
      </c>
      <c r="B3" s="7">
        <f>SUMIFS(Sheet1!$D$2:$D$101,Sheet1!$C$2:$C$101,A3)</f>
        <v/>
      </c>
      <c r="C3" s="11">
        <f>IF(B10=0,0,B3/B10)</f>
        <v/>
      </c>
    </row>
    <row r="4">
      <c r="A4" s="3" t="inlineStr">
        <is>
          <t>関東</t>
        </is>
      </c>
      <c r="B4" s="4">
        <f>SUMIFS(Sheet1!$D$2:$D$101,Sheet1!$C$2:$C$101,A4)</f>
        <v/>
      </c>
      <c r="C4" s="10">
        <f>IF(B10=0,0,B4/B10)</f>
        <v/>
      </c>
    </row>
    <row r="5">
      <c r="A5" s="6" t="inlineStr">
        <is>
          <t>中部</t>
        </is>
      </c>
      <c r="B5" s="7">
        <f>SUMIFS(Sheet1!$D$2:$D$101,Sheet1!$C$2:$C$101,A5)</f>
        <v/>
      </c>
      <c r="C5" s="11">
        <f>IF(B10=0,0,B5/B10)</f>
        <v/>
      </c>
    </row>
    <row r="6">
      <c r="A6" s="3" t="inlineStr">
        <is>
          <t>近畿</t>
        </is>
      </c>
      <c r="B6" s="4">
        <f>SUMIFS(Sheet1!$D$2:$D$101,Sheet1!$C$2:$C$101,A6)</f>
        <v/>
      </c>
      <c r="C6" s="10">
        <f>IF(B10=0,0,B6/B10)</f>
        <v/>
      </c>
    </row>
    <row r="7">
      <c r="A7" s="6" t="inlineStr">
        <is>
          <t>中国</t>
        </is>
      </c>
      <c r="B7" s="7">
        <f>SUMIFS(Sheet1!$D$2:$D$101,Sheet1!$C$2:$C$101,A7)</f>
        <v/>
      </c>
      <c r="C7" s="11">
        <f>IF(B10=0,0,B7/B10)</f>
        <v/>
      </c>
    </row>
    <row r="8">
      <c r="A8" s="3" t="inlineStr">
        <is>
          <t>四国</t>
        </is>
      </c>
      <c r="B8" s="4">
        <f>SUMIFS(Sheet1!$D$2:$D$101,Sheet1!$C$2:$C$101,A8)</f>
        <v/>
      </c>
      <c r="C8" s="10">
        <f>IF(B10=0,0,B8/B10)</f>
        <v/>
      </c>
    </row>
    <row r="9">
      <c r="A9" s="6" t="inlineStr">
        <is>
          <t>九州</t>
        </is>
      </c>
      <c r="B9" s="7">
        <f>SUMIFS(Sheet1!$D$2:$D$101,Sheet1!$C$2:$C$101,A9)</f>
        <v/>
      </c>
      <c r="C9" s="11">
        <f>IF(B10=0,0,B9/B10)</f>
        <v/>
      </c>
    </row>
    <row r="10">
      <c r="A10" s="12" t="inlineStr">
        <is>
          <t>合計</t>
        </is>
      </c>
      <c r="B10" s="13">
        <f>SUM(B2:B9)</f>
        <v/>
      </c>
      <c r="C10" s="14">
        <f>SUM(C2:C9)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2026-03-07T21:25:03Z</dcterms:created>
  <dcterms:modified xsi:type="dcterms:W3CDTF">2026-03-07T21:32:42Z</dcterms:modified>
</cp:coreProperties>
</file>